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ntrol Matrix" sheetId="2" state="visible" r:id="rId4"/>
    <sheet name="Dashboard" sheetId="3" state="visible" r:id="rId5"/>
  </sheets>
  <definedNames>
    <definedName function="false" hidden="true" localSheetId="1" name="_xlnm._FilterDatabase" vbProcedure="false">'Control Matrix'!$A$1:$K$17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<sst xmlns="http://schemas.openxmlformats.org/spreadsheetml/2006/main" count="222" uniqueCount="135">
  <si>
    <t xml:space="preserve">SOX IT General Controls (ITGC) Assessment — NorthStar Lending</t>
  </si>
  <si>
    <t xml:space="preserve">Fictional fintech preparing for IPO. Lab/portfolio project.</t>
  </si>
  <si>
    <t xml:space="preserve">What SOX ITGC is</t>
  </si>
  <si>
    <t xml:space="preserve">SOX Section 404 requires companies to assess Internal Control over Financial Reporting (ICFR). Financial statements come from IT systems, so IT General Controls are the foundation that lets auditors trust those systems.</t>
  </si>
  <si>
    <t xml:space="preserve">Four ITGC domains</t>
  </si>
  <si>
    <t xml:space="preserve">Access to Programs &amp; Data | Program Changes | Program Development | Computer Operations.</t>
  </si>
  <si>
    <t xml:space="preserve">Deficiency severity</t>
  </si>
  <si>
    <t xml:space="preserve">Control Deficiency &lt; Significant Deficiency &lt; Material Weakness (PCAOB AS 2201). Severity = likelihood x magnitude of a financial misstatement. A material weakness must be disclosed.</t>
  </si>
  <si>
    <t xml:space="preserve">Control Matrix</t>
  </si>
  <si>
    <t xml:space="preserve">16 controls tested. Test Result and Deficiency Severity are color-coded.</t>
  </si>
  <si>
    <t xml:space="preserve">Dashboard</t>
  </si>
  <si>
    <t xml:space="preserve">Counts, control-effectiveness %, and the overall conclusion (a formula that returns the worst severity present).</t>
  </si>
  <si>
    <t xml:space="preserve">Prepared by</t>
  </si>
  <si>
    <t xml:space="preserve">Salim Mbaye</t>
  </si>
  <si>
    <t xml:space="preserve">Control ID</t>
  </si>
  <si>
    <t xml:space="preserve">ITGC Domain</t>
  </si>
  <si>
    <t xml:space="preserve">Control Objective</t>
  </si>
  <si>
    <t xml:space="preserve">Control Activity</t>
  </si>
  <si>
    <t xml:space="preserve">Owner</t>
  </si>
  <si>
    <t xml:space="preserve">Frequency</t>
  </si>
  <si>
    <t xml:space="preserve">Control Type</t>
  </si>
  <si>
    <t xml:space="preserve">Test Procedure</t>
  </si>
  <si>
    <t xml:space="preserve">Test Result</t>
  </si>
  <si>
    <t xml:space="preserve">Deficiency Severity</t>
  </si>
  <si>
    <t xml:space="preserve">Remediation</t>
  </si>
  <si>
    <t xml:space="preserve">AC-01</t>
  </si>
  <si>
    <t xml:space="preserve">Access to Programs &amp; Data</t>
  </si>
  <si>
    <t xml:space="preserve">Access is granted only with proper authorization</t>
  </si>
  <si>
    <t xml:space="preserve">New user access requests require documented manager and system-owner approval before provisioning</t>
  </si>
  <si>
    <t xml:space="preserve">IT Security</t>
  </si>
  <si>
    <t xml:space="preserve">Per event</t>
  </si>
  <si>
    <t xml:space="preserve">Preventive / Manual</t>
  </si>
  <si>
    <t xml:space="preserve">Sample 25 new-user grants; verify documented approval predates access</t>
  </si>
  <si>
    <t xml:space="preserve">Pass</t>
  </si>
  <si>
    <t xml:space="preserve">None</t>
  </si>
  <si>
    <t xml:space="preserve">—</t>
  </si>
  <si>
    <t xml:space="preserve">AC-02</t>
  </si>
  <si>
    <t xml:space="preserve">Access remains appropriate over time</t>
  </si>
  <si>
    <t xml:space="preserve">User access to financial systems is recertified by managers quarterly</t>
  </si>
  <si>
    <t xml:space="preserve">Quarterly</t>
  </si>
  <si>
    <t xml:space="preserve">Detective / Manual</t>
  </si>
  <si>
    <t xml:space="preserve">Inspect quarterly recertification evidence for all 4 quarters</t>
  </si>
  <si>
    <t xml:space="preserve">Exception</t>
  </si>
  <si>
    <t xml:space="preserve">Significant Deficiency</t>
  </si>
  <si>
    <t xml:space="preserve">Formalize and enforce quarterly access recertification with tracked completion</t>
  </si>
  <si>
    <t xml:space="preserve">AC-03</t>
  </si>
  <si>
    <t xml:space="preserve">Access is removed when no longer needed</t>
  </si>
  <si>
    <t xml:space="preserve">Access for terminated employees is revoked within 24 hours of separation</t>
  </si>
  <si>
    <t xml:space="preserve">IT Security / HR</t>
  </si>
  <si>
    <t xml:space="preserve">Sample 15 terminations; verify access revoked within SLA</t>
  </si>
  <si>
    <t xml:space="preserve">Fail</t>
  </si>
  <si>
    <t xml:space="preserve">Automate deprovisioning via HR-triggered workflow; monitor SLA</t>
  </si>
  <si>
    <t xml:space="preserve">AC-04</t>
  </si>
  <si>
    <t xml:space="preserve">Privileged access is restricted</t>
  </si>
  <si>
    <t xml:space="preserve">Administrative/privileged access is limited to authorized personnel and reviewed</t>
  </si>
  <si>
    <t xml:space="preserve">Inspect admin user list; verify business justification and review</t>
  </si>
  <si>
    <t xml:space="preserve">AC-05</t>
  </si>
  <si>
    <t xml:space="preserve">Authentication enforces identity</t>
  </si>
  <si>
    <t xml:space="preserve">Password policy and MFA are enforced on financial systems per standard</t>
  </si>
  <si>
    <t xml:space="preserve">Automated</t>
  </si>
  <si>
    <t xml:space="preserve">Preventive / Automated</t>
  </si>
  <si>
    <t xml:space="preserve">Inspect IdP configuration for password and MFA settings</t>
  </si>
  <si>
    <t xml:space="preserve">AC-06</t>
  </si>
  <si>
    <t xml:space="preserve">Incompatible duties are segregated</t>
  </si>
  <si>
    <t xml:space="preserve">Segregation-of-duties rules prevent a single user from initiating and approving transactions</t>
  </si>
  <si>
    <t xml:space="preserve">GRC / Finance</t>
  </si>
  <si>
    <t xml:space="preserve">Run SoD conflict report; inspect for unresolved conflicts</t>
  </si>
  <si>
    <t xml:space="preserve">Control Deficiency</t>
  </si>
  <si>
    <t xml:space="preserve">Implement SoD ruleset and remediate the identified conflicting grants</t>
  </si>
  <si>
    <t xml:space="preserve">CM-01</t>
  </si>
  <si>
    <t xml:space="preserve">Program Changes</t>
  </si>
  <si>
    <t xml:space="preserve">Changes are authorized</t>
  </si>
  <si>
    <t xml:space="preserve">Production changes require documented approval before deployment</t>
  </si>
  <si>
    <t xml:space="preserve">Engineering</t>
  </si>
  <si>
    <t xml:space="preserve">Sample 25 production changes; verify approval predates deployment</t>
  </si>
  <si>
    <t xml:space="preserve">CM-02</t>
  </si>
  <si>
    <t xml:space="preserve">Changes are tested</t>
  </si>
  <si>
    <t xml:space="preserve">Changes are tested and results documented prior to production release</t>
  </si>
  <si>
    <t xml:space="preserve">Engineering / QA</t>
  </si>
  <si>
    <t xml:space="preserve">Sample 25 changes; verify test evidence exists</t>
  </si>
  <si>
    <t xml:space="preserve">CM-03</t>
  </si>
  <si>
    <t xml:space="preserve">Development and production are separated</t>
  </si>
  <si>
    <t xml:space="preserve">Developers do not have standing access to deploy to production (deployer != developer)</t>
  </si>
  <si>
    <t xml:space="preserve">Inspect production deployment access; verify developers lack standing prod access</t>
  </si>
  <si>
    <t xml:space="preserve">Material Weakness</t>
  </si>
  <si>
    <t xml:space="preserve">Remove developer standing prod access; route deployments through controlled CI/CD with approval</t>
  </si>
  <si>
    <t xml:space="preserve">CM-04</t>
  </si>
  <si>
    <t xml:space="preserve">Emergency changes are controlled</t>
  </si>
  <si>
    <t xml:space="preserve">Emergency changes follow a defined process and receive retrospective review and approval</t>
  </si>
  <si>
    <t xml:space="preserve">Sample emergency changes; verify retrospective approval</t>
  </si>
  <si>
    <t xml:space="preserve">PD-01</t>
  </si>
  <si>
    <t xml:space="preserve">Program Development</t>
  </si>
  <si>
    <t xml:space="preserve">New systems follow a controlled SDLC</t>
  </si>
  <si>
    <t xml:space="preserve">Major system implementations follow an SDLC with approvals at defined stage gates</t>
  </si>
  <si>
    <t xml:space="preserve">Engineering / PMO</t>
  </si>
  <si>
    <t xml:space="preserve">Per project</t>
  </si>
  <si>
    <t xml:space="preserve">Inspect SDLC documentation for the sampled implementation project</t>
  </si>
  <si>
    <t xml:space="preserve">PD-02</t>
  </si>
  <si>
    <t xml:space="preserve">Data migration is accurate and complete</t>
  </si>
  <si>
    <t xml:space="preserve">Data conversion/migration is validated and reconciled before go-live</t>
  </si>
  <si>
    <t xml:space="preserve">Engineering / Finance</t>
  </si>
  <si>
    <t xml:space="preserve">Inspect migration reconciliation evidence for the project</t>
  </si>
  <si>
    <t xml:space="preserve">PD-03</t>
  </si>
  <si>
    <t xml:space="preserve">Users accept new functionality</t>
  </si>
  <si>
    <t xml:space="preserve">User acceptance testing (UAT) is performed and signed off before go-live</t>
  </si>
  <si>
    <t xml:space="preserve">Business Owner</t>
  </si>
  <si>
    <t xml:space="preserve">Inspect UAT sign-off for the sampled project</t>
  </si>
  <si>
    <t xml:space="preserve">CO-01</t>
  </si>
  <si>
    <t xml:space="preserve">Computer Operations</t>
  </si>
  <si>
    <t xml:space="preserve">Scheduled jobs complete reliably</t>
  </si>
  <si>
    <t xml:space="preserve">Batch jobs are scheduled and monitored; failures are investigated and resolved</t>
  </si>
  <si>
    <t xml:space="preserve">IT Operations</t>
  </si>
  <si>
    <t xml:space="preserve">Daily</t>
  </si>
  <si>
    <t xml:space="preserve">Detective / Automated</t>
  </si>
  <si>
    <t xml:space="preserve">Sample 25 job-failure alerts; verify resolution</t>
  </si>
  <si>
    <t xml:space="preserve">CO-02</t>
  </si>
  <si>
    <t xml:space="preserve">Data can be recovered</t>
  </si>
  <si>
    <t xml:space="preserve">Backups are performed per schedule and periodically tested for restorability</t>
  </si>
  <si>
    <t xml:space="preserve">Daily / Quarterly test</t>
  </si>
  <si>
    <t xml:space="preserve">Inspect backup logs and evidence of restore testing</t>
  </si>
  <si>
    <t xml:space="preserve">Establish and document periodic restore testing with retained evidence</t>
  </si>
  <si>
    <t xml:space="preserve">CO-03</t>
  </si>
  <si>
    <t xml:space="preserve">Incidents are resolved</t>
  </si>
  <si>
    <t xml:space="preserve">IT incidents and problems are logged, tracked, and resolved</t>
  </si>
  <si>
    <t xml:space="preserve">Sample 25 incidents; verify tracking and resolution</t>
  </si>
  <si>
    <t xml:space="preserve">SOX ITGC Dashboard — NorthStar Lending</t>
  </si>
  <si>
    <t xml:space="preserve">Overall conclusion:</t>
  </si>
  <si>
    <t xml:space="preserve">Controls tested</t>
  </si>
  <si>
    <t xml:space="preserve">Operating effectively (Pass)</t>
  </si>
  <si>
    <t xml:space="preserve">Control effectiveness</t>
  </si>
  <si>
    <t xml:space="preserve">Deficiencies by severity</t>
  </si>
  <si>
    <t xml:space="preserve">Results by ITGC domain</t>
  </si>
  <si>
    <t xml:space="preserve">Severity</t>
  </si>
  <si>
    <t xml:space="preserve">Count</t>
  </si>
  <si>
    <t xml:space="preserve">Domain</t>
  </si>
</sst>
</file>

<file path=xl/styles.xml><?xml version="1.0" encoding="utf-8"?>
<styleSheet xmlns="http://schemas.openxmlformats.org/spreadsheetml/2006/main">
  <numFmts count="3">
    <numFmt numFmtId="164" formatCode="General"/>
    <numFmt numFmtId="165" formatCode="General"/>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55555"/>
      <name val="Arial"/>
      <family val="0"/>
      <charset val="1"/>
    </font>
    <font>
      <sz val="11"/>
      <name val="Arial"/>
      <family val="0"/>
      <charset val="1"/>
    </font>
    <font>
      <sz val="10"/>
      <name val="Arial"/>
      <family val="0"/>
      <charset val="1"/>
    </font>
    <font>
      <b val="true"/>
      <sz val="11"/>
      <name val="Arial"/>
      <family val="0"/>
      <charset val="1"/>
    </font>
    <font>
      <b val="true"/>
      <sz val="11"/>
      <color rgb="FFFFFFFF"/>
      <name val="Arial"/>
      <family val="0"/>
      <charset val="1"/>
    </font>
    <font>
      <b val="true"/>
      <sz val="12"/>
      <name val="Arial"/>
      <family val="0"/>
      <charset val="1"/>
    </font>
    <font>
      <b val="true"/>
      <sz val="12"/>
      <color rgb="FFFFFFFF"/>
      <name val="Arial"/>
      <family val="0"/>
      <charset val="1"/>
    </font>
    <font>
      <b val="true"/>
      <sz val="11"/>
      <color rgb="FF000000"/>
      <name val="Arial"/>
      <family val="0"/>
      <charset val="1"/>
    </font>
    <font>
      <b val="true"/>
      <sz val="18"/>
      <color rgb="FF000000"/>
      <name val="Calibri"/>
      <family val="2"/>
    </font>
    <font>
      <sz val="10"/>
      <color rgb="FF000000"/>
      <name val="Calibri"/>
      <family val="2"/>
    </font>
  </fonts>
  <fills count="7">
    <fill>
      <patternFill patternType="none"/>
    </fill>
    <fill>
      <patternFill patternType="gray125"/>
    </fill>
    <fill>
      <patternFill patternType="solid">
        <fgColor rgb="FF1F3864"/>
        <bgColor rgb="FF333399"/>
      </patternFill>
    </fill>
    <fill>
      <patternFill patternType="solid">
        <fgColor rgb="FF2E7D32"/>
        <bgColor rgb="FF008000"/>
      </patternFill>
    </fill>
    <fill>
      <patternFill patternType="solid">
        <fgColor rgb="FFF9A825"/>
        <bgColor rgb="FFFFCC00"/>
      </patternFill>
    </fill>
    <fill>
      <patternFill patternType="solid">
        <fgColor rgb="FFEF6C00"/>
        <bgColor rgb="FFC0504D"/>
      </patternFill>
    </fill>
    <fill>
      <patternFill patternType="solid">
        <fgColor rgb="FFC62828"/>
        <bgColor rgb="FF99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E7D32"/>
          <bgColor rgb="FF000000"/>
        </patternFill>
      </fill>
    </dxf>
    <dxf>
      <fill>
        <patternFill patternType="solid">
          <fgColor rgb="FFC62828"/>
          <bgColor rgb="FF000000"/>
        </patternFill>
      </fill>
    </dxf>
    <dxf>
      <fill>
        <patternFill patternType="solid">
          <fgColor rgb="FFF9A825"/>
          <bgColor rgb="FF000000"/>
        </patternFill>
      </fill>
    </dxf>
    <dxf>
      <fill>
        <patternFill patternType="solid">
          <fgColor rgb="FF000000"/>
          <bgColor rgb="FF000000"/>
        </patternFill>
      </fill>
    </dxf>
    <dxf>
      <fill>
        <patternFill patternType="solid">
          <fgColor rgb="FFEF6C00"/>
          <bgColor rgb="FF000000"/>
        </patternFill>
      </fill>
    </dxf>
    <dxf>
      <font>
        <name val="Arial"/>
        <charset val="1"/>
        <family val="0"/>
        <b val="1"/>
        <color rgb="FFFFFFFF"/>
      </font>
      <fill>
        <patternFill>
          <bgColor rgb="FF2E7D32"/>
        </patternFill>
      </fill>
    </dxf>
    <dxf>
      <font>
        <name val="Arial"/>
        <charset val="1"/>
        <family val="0"/>
        <b val="1"/>
        <color rgb="FF000000"/>
      </font>
      <fill>
        <patternFill>
          <bgColor rgb="FFF9A825"/>
        </patternFill>
      </fill>
    </dxf>
    <dxf>
      <font>
        <name val="Arial"/>
        <charset val="1"/>
        <family val="0"/>
        <b val="1"/>
        <color rgb="FFFFFFFF"/>
      </font>
      <fill>
        <patternFill>
          <bgColor rgb="FFC62828"/>
        </patternFill>
      </fill>
    </dxf>
    <dxf>
      <font>
        <name val="Arial"/>
        <charset val="1"/>
        <family val="0"/>
        <b val="1"/>
        <color rgb="FFFFFFFF"/>
      </font>
      <fill>
        <patternFill>
          <bgColor rgb="FFEF6C00"/>
        </patternFill>
      </fill>
    </dxf>
    <dxf>
      <font>
        <name val="Arial"/>
        <charset val="1"/>
        <family val="0"/>
        <b val="1"/>
        <color rgb="FFFFFFFF"/>
        <sz val="12"/>
      </font>
      <fill>
        <patternFill>
          <bgColor rgb="FFC62828"/>
        </patternFill>
      </fill>
    </dxf>
    <dxf>
      <font>
        <name val="Arial"/>
        <charset val="1"/>
        <family val="0"/>
        <b val="1"/>
        <color rgb="FFFFFFFF"/>
        <sz val="12"/>
      </font>
      <fill>
        <patternFill>
          <bgColor rgb="FFEF6C00"/>
        </patternFill>
      </fill>
    </dxf>
    <dxf>
      <font>
        <name val="Arial"/>
        <charset val="1"/>
        <family val="0"/>
        <b val="1"/>
        <color rgb="FF000000"/>
        <sz val="12"/>
      </font>
      <fill>
        <patternFill>
          <bgColor rgb="FFF9A825"/>
        </patternFill>
      </fill>
    </dxf>
    <dxf>
      <font>
        <name val="Arial"/>
        <charset val="1"/>
        <family val="0"/>
        <b val="1"/>
        <color rgb="FFFFFFFF"/>
        <sz val="12"/>
      </font>
      <fill>
        <patternFill>
          <bgColor rgb="FF2E7D3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BBB59"/>
      <rgbColor rgb="FFFFCC00"/>
      <rgbColor rgb="FFF9A825"/>
      <rgbColor rgb="FFEF6C00"/>
      <rgbColor rgb="FF4F81BD"/>
      <rgbColor rgb="FF969696"/>
      <rgbColor rgb="FF1F3864"/>
      <rgbColor rgb="FF2E7D32"/>
      <rgbColor rgb="FF003300"/>
      <rgbColor rgb="FF333300"/>
      <rgbColor rgb="FFC62828"/>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ITGC Test Results by Domain</a:t>
            </a:r>
          </a:p>
        </c:rich>
      </c:tx>
      <c:overlay val="0"/>
      <c:spPr>
        <a:noFill/>
        <a:ln w="0">
          <a:noFill/>
        </a:ln>
      </c:spPr>
    </c:title>
    <c:autoTitleDeleted val="0"/>
    <c:plotArea>
      <c:barChart>
        <c:barDir val="bar"/>
        <c:grouping val="stacked"/>
        <c:varyColors val="0"/>
        <c:ser>
          <c:idx val="0"/>
          <c:order val="0"/>
          <c:tx>
            <c:strRef>
              <c:f>Dashboard!I11</c:f>
              <c:strCache>
                <c:ptCount val="1"/>
                <c:pt idx="0">
                  <c:v>Pass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Dashboard!$H$12:$H$15</c:f>
              <c:strCache>
                <c:ptCount val="4"/>
                <c:pt idx="0">
                  <c:v>Access to Programs &amp; Data</c:v>
                </c:pt>
                <c:pt idx="1">
                  <c:v>Program Changes</c:v>
                </c:pt>
                <c:pt idx="2">
                  <c:v>Program Development</c:v>
                </c:pt>
                <c:pt idx="3">
                  <c:v>Computer Operations</c:v>
                </c:pt>
              </c:strCache>
            </c:strRef>
          </c:cat>
          <c:val>
            <c:numRef>
              <c:f>Dashboard!$I$12:$I$15</c:f>
              <c:numCache>
                <c:formatCode>General</c:formatCode>
                <c:ptCount val="4"/>
                <c:pt idx="0">
                  <c:v>3</c:v>
                </c:pt>
                <c:pt idx="1">
                  <c:v>3</c:v>
                </c:pt>
                <c:pt idx="2">
                  <c:v>3</c:v>
                </c:pt>
                <c:pt idx="3">
                  <c:v>2</c:v>
                </c:pt>
              </c:numCache>
            </c:numRef>
          </c:val>
        </c:ser>
        <c:ser>
          <c:idx val="1"/>
          <c:order val="1"/>
          <c:tx>
            <c:strRef>
              <c:f>Dashboard!J11</c:f>
              <c:strCache>
                <c:ptCount val="1"/>
                <c:pt idx="0">
                  <c:v>Exception</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Dashboard!$H$12:$H$15</c:f>
              <c:strCache>
                <c:ptCount val="4"/>
                <c:pt idx="0">
                  <c:v>Access to Programs &amp; Data</c:v>
                </c:pt>
                <c:pt idx="1">
                  <c:v>Program Changes</c:v>
                </c:pt>
                <c:pt idx="2">
                  <c:v>Program Development</c:v>
                </c:pt>
                <c:pt idx="3">
                  <c:v>Computer Operations</c:v>
                </c:pt>
              </c:strCache>
            </c:strRef>
          </c:cat>
          <c:val>
            <c:numRef>
              <c:f>Dashboard!$J$12:$J$15</c:f>
              <c:numCache>
                <c:formatCode>General</c:formatCode>
                <c:ptCount val="4"/>
                <c:pt idx="0">
                  <c:v>2</c:v>
                </c:pt>
                <c:pt idx="1">
                  <c:v>0</c:v>
                </c:pt>
                <c:pt idx="2">
                  <c:v>0</c:v>
                </c:pt>
                <c:pt idx="3">
                  <c:v>1</c:v>
                </c:pt>
              </c:numCache>
            </c:numRef>
          </c:val>
        </c:ser>
        <c:ser>
          <c:idx val="2"/>
          <c:order val="2"/>
          <c:tx>
            <c:strRef>
              <c:f>Dashboard!K11</c:f>
              <c:strCache>
                <c:ptCount val="1"/>
                <c:pt idx="0">
                  <c:v>Fail</c:v>
                </c:pt>
              </c:strCache>
            </c:strRef>
          </c:tx>
          <c:spPr>
            <a:solidFill>
              <a:srgbClr val="9bbb5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Dashboard!$H$12:$H$15</c:f>
              <c:strCache>
                <c:ptCount val="4"/>
                <c:pt idx="0">
                  <c:v>Access to Programs &amp; Data</c:v>
                </c:pt>
                <c:pt idx="1">
                  <c:v>Program Changes</c:v>
                </c:pt>
                <c:pt idx="2">
                  <c:v>Program Development</c:v>
                </c:pt>
                <c:pt idx="3">
                  <c:v>Computer Operations</c:v>
                </c:pt>
              </c:strCache>
            </c:strRef>
          </c:cat>
          <c:val>
            <c:numRef>
              <c:f>Dashboard!$K$12:$K$15</c:f>
              <c:numCache>
                <c:formatCode>General</c:formatCode>
                <c:ptCount val="4"/>
                <c:pt idx="0">
                  <c:v>1</c:v>
                </c:pt>
                <c:pt idx="1">
                  <c:v>1</c:v>
                </c:pt>
                <c:pt idx="2">
                  <c:v>0</c:v>
                </c:pt>
                <c:pt idx="3">
                  <c:v>0</c:v>
                </c:pt>
              </c:numCache>
            </c:numRef>
          </c:val>
        </c:ser>
        <c:gapWidth val="150"/>
        <c:overlap val="100"/>
        <c:axId val="85104158"/>
        <c:axId val="54920702"/>
      </c:barChart>
      <c:catAx>
        <c:axId val="851041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920702"/>
        <c:crosses val="autoZero"/>
        <c:auto val="1"/>
        <c:lblAlgn val="ctr"/>
        <c:lblOffset val="100"/>
        <c:noMultiLvlLbl val="0"/>
      </c:catAx>
      <c:valAx>
        <c:axId val="5492070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1041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xdr:row>
      <xdr:rowOff>131040</xdr:rowOff>
    </xdr:from>
    <xdr:to>
      <xdr:col>7</xdr:col>
      <xdr:colOff>416160</xdr:colOff>
      <xdr:row>29</xdr:row>
      <xdr:rowOff>173880</xdr:rowOff>
    </xdr:to>
    <xdr:graphicFrame>
      <xdr:nvGraphicFramePr>
        <xdr:cNvPr id="0" name="Chart 1"/>
        <xdr:cNvGraphicFramePr/>
      </xdr:nvGraphicFramePr>
      <xdr:xfrm>
        <a:off x="611640" y="3238560"/>
        <a:ext cx="53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0"/>
    <col collapsed="false" customWidth="true" hidden="false" outlineLevel="0" max="3" min="3" style="0" width="92"/>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35.05" hidden="false" customHeight="false" outlineLevel="0" collapsed="false">
      <c r="B6" s="5" t="s">
        <v>2</v>
      </c>
      <c r="C6" s="4" t="s">
        <v>3</v>
      </c>
    </row>
    <row r="7" customFormat="false" ht="15" hidden="false" customHeight="false" outlineLevel="0" collapsed="false">
      <c r="B7" s="5" t="s">
        <v>4</v>
      </c>
      <c r="C7" s="4" t="s">
        <v>5</v>
      </c>
    </row>
    <row r="8" customFormat="false" ht="23.85" hidden="false" customHeight="false" outlineLevel="0" collapsed="false">
      <c r="B8" s="5" t="s">
        <v>6</v>
      </c>
      <c r="C8" s="4" t="s">
        <v>7</v>
      </c>
    </row>
    <row r="9" customFormat="false" ht="15" hidden="false" customHeight="false" outlineLevel="0" collapsed="false">
      <c r="B9" s="5" t="s">
        <v>8</v>
      </c>
      <c r="C9" s="4" t="s">
        <v>9</v>
      </c>
    </row>
    <row r="10" customFormat="false" ht="15" hidden="false" customHeight="false" outlineLevel="0" collapsed="false">
      <c r="B10" s="5" t="s">
        <v>10</v>
      </c>
      <c r="C10" s="4" t="s">
        <v>11</v>
      </c>
    </row>
    <row r="11" customFormat="false" ht="15" hidden="false" customHeight="false" outlineLevel="0" collapsed="false">
      <c r="B11" s="5" t="s">
        <v>12</v>
      </c>
      <c r="C11" s="4"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24"/>
    <col collapsed="false" customWidth="true" hidden="false" outlineLevel="0" max="4" min="4" style="0" width="30"/>
    <col collapsed="false" customWidth="true" hidden="false" outlineLevel="0" max="5" min="5" style="0" width="13"/>
    <col collapsed="false" customWidth="true" hidden="false" outlineLevel="0" max="6" min="6" style="0" width="12"/>
    <col collapsed="false" customWidth="true" hidden="false" outlineLevel="0" max="7" min="7" style="0" width="15"/>
    <col collapsed="false" customWidth="true" hidden="false" outlineLevel="0" max="8" min="8" style="0" width="26"/>
    <col collapsed="false" customWidth="true" hidden="false" outlineLevel="0" max="9" min="9" style="0" width="10"/>
    <col collapsed="false" customWidth="true" hidden="false" outlineLevel="0" max="10" min="10" style="0" width="15"/>
    <col collapsed="false" customWidth="true" hidden="false" outlineLevel="0" max="11" min="11" style="0" width="30"/>
  </cols>
  <sheetData>
    <row r="1" customFormat="false" ht="26.85" hidden="false" customHeight="false" outlineLevel="0" collapsed="false">
      <c r="A1" s="6" t="s">
        <v>14</v>
      </c>
      <c r="B1" s="6" t="s">
        <v>15</v>
      </c>
      <c r="C1" s="6" t="s">
        <v>16</v>
      </c>
      <c r="D1" s="6" t="s">
        <v>17</v>
      </c>
      <c r="E1" s="6" t="s">
        <v>18</v>
      </c>
      <c r="F1" s="6" t="s">
        <v>19</v>
      </c>
      <c r="G1" s="6" t="s">
        <v>20</v>
      </c>
      <c r="H1" s="6" t="s">
        <v>21</v>
      </c>
      <c r="I1" s="6" t="s">
        <v>22</v>
      </c>
      <c r="J1" s="6" t="s">
        <v>23</v>
      </c>
      <c r="K1" s="6" t="s">
        <v>24</v>
      </c>
    </row>
    <row r="2" customFormat="false" ht="35.05" hidden="false" customHeight="false" outlineLevel="0" collapsed="false">
      <c r="A2" s="7" t="s">
        <v>25</v>
      </c>
      <c r="B2" s="7" t="s">
        <v>26</v>
      </c>
      <c r="C2" s="7" t="s">
        <v>27</v>
      </c>
      <c r="D2" s="7" t="s">
        <v>28</v>
      </c>
      <c r="E2" s="7" t="s">
        <v>29</v>
      </c>
      <c r="F2" s="7" t="s">
        <v>30</v>
      </c>
      <c r="G2" s="7" t="s">
        <v>31</v>
      </c>
      <c r="H2" s="7" t="s">
        <v>32</v>
      </c>
      <c r="I2" s="8" t="s">
        <v>33</v>
      </c>
      <c r="J2" s="7" t="s">
        <v>34</v>
      </c>
      <c r="K2" s="7" t="s">
        <v>35</v>
      </c>
    </row>
    <row r="3" customFormat="false" ht="35.05" hidden="false" customHeight="false" outlineLevel="0" collapsed="false">
      <c r="A3" s="7" t="s">
        <v>36</v>
      </c>
      <c r="B3" s="7" t="s">
        <v>26</v>
      </c>
      <c r="C3" s="7" t="s">
        <v>37</v>
      </c>
      <c r="D3" s="7" t="s">
        <v>38</v>
      </c>
      <c r="E3" s="7" t="s">
        <v>29</v>
      </c>
      <c r="F3" s="7" t="s">
        <v>39</v>
      </c>
      <c r="G3" s="7" t="s">
        <v>40</v>
      </c>
      <c r="H3" s="7" t="s">
        <v>41</v>
      </c>
      <c r="I3" s="8" t="s">
        <v>42</v>
      </c>
      <c r="J3" s="7" t="s">
        <v>43</v>
      </c>
      <c r="K3" s="7" t="s">
        <v>44</v>
      </c>
    </row>
    <row r="4" customFormat="false" ht="35.05" hidden="false" customHeight="false" outlineLevel="0" collapsed="false">
      <c r="A4" s="7" t="s">
        <v>45</v>
      </c>
      <c r="B4" s="7" t="s">
        <v>26</v>
      </c>
      <c r="C4" s="7" t="s">
        <v>46</v>
      </c>
      <c r="D4" s="7" t="s">
        <v>47</v>
      </c>
      <c r="E4" s="7" t="s">
        <v>48</v>
      </c>
      <c r="F4" s="7" t="s">
        <v>30</v>
      </c>
      <c r="G4" s="7" t="s">
        <v>31</v>
      </c>
      <c r="H4" s="7" t="s">
        <v>49</v>
      </c>
      <c r="I4" s="8" t="s">
        <v>50</v>
      </c>
      <c r="J4" s="7" t="s">
        <v>43</v>
      </c>
      <c r="K4" s="7" t="s">
        <v>51</v>
      </c>
    </row>
    <row r="5" customFormat="false" ht="35.05" hidden="false" customHeight="false" outlineLevel="0" collapsed="false">
      <c r="A5" s="7" t="s">
        <v>52</v>
      </c>
      <c r="B5" s="7" t="s">
        <v>26</v>
      </c>
      <c r="C5" s="7" t="s">
        <v>53</v>
      </c>
      <c r="D5" s="7" t="s">
        <v>54</v>
      </c>
      <c r="E5" s="7" t="s">
        <v>29</v>
      </c>
      <c r="F5" s="7" t="s">
        <v>39</v>
      </c>
      <c r="G5" s="7" t="s">
        <v>31</v>
      </c>
      <c r="H5" s="7" t="s">
        <v>55</v>
      </c>
      <c r="I5" s="8" t="s">
        <v>33</v>
      </c>
      <c r="J5" s="7" t="s">
        <v>34</v>
      </c>
      <c r="K5" s="7" t="s">
        <v>35</v>
      </c>
    </row>
    <row r="6" customFormat="false" ht="35.05" hidden="false" customHeight="false" outlineLevel="0" collapsed="false">
      <c r="A6" s="7" t="s">
        <v>56</v>
      </c>
      <c r="B6" s="7" t="s">
        <v>26</v>
      </c>
      <c r="C6" s="7" t="s">
        <v>57</v>
      </c>
      <c r="D6" s="7" t="s">
        <v>58</v>
      </c>
      <c r="E6" s="7" t="s">
        <v>29</v>
      </c>
      <c r="F6" s="7" t="s">
        <v>59</v>
      </c>
      <c r="G6" s="7" t="s">
        <v>60</v>
      </c>
      <c r="H6" s="7" t="s">
        <v>61</v>
      </c>
      <c r="I6" s="8" t="s">
        <v>33</v>
      </c>
      <c r="J6" s="7" t="s">
        <v>34</v>
      </c>
      <c r="K6" s="7" t="s">
        <v>35</v>
      </c>
    </row>
    <row r="7" customFormat="false" ht="35.05" hidden="false" customHeight="false" outlineLevel="0" collapsed="false">
      <c r="A7" s="7" t="s">
        <v>62</v>
      </c>
      <c r="B7" s="7" t="s">
        <v>26</v>
      </c>
      <c r="C7" s="7" t="s">
        <v>63</v>
      </c>
      <c r="D7" s="7" t="s">
        <v>64</v>
      </c>
      <c r="E7" s="7" t="s">
        <v>65</v>
      </c>
      <c r="F7" s="7" t="s">
        <v>39</v>
      </c>
      <c r="G7" s="7" t="s">
        <v>31</v>
      </c>
      <c r="H7" s="7" t="s">
        <v>66</v>
      </c>
      <c r="I7" s="8" t="s">
        <v>42</v>
      </c>
      <c r="J7" s="7" t="s">
        <v>67</v>
      </c>
      <c r="K7" s="7" t="s">
        <v>68</v>
      </c>
    </row>
    <row r="8" customFormat="false" ht="35.05" hidden="false" customHeight="false" outlineLevel="0" collapsed="false">
      <c r="A8" s="7" t="s">
        <v>69</v>
      </c>
      <c r="B8" s="7" t="s">
        <v>70</v>
      </c>
      <c r="C8" s="7" t="s">
        <v>71</v>
      </c>
      <c r="D8" s="7" t="s">
        <v>72</v>
      </c>
      <c r="E8" s="7" t="s">
        <v>73</v>
      </c>
      <c r="F8" s="7" t="s">
        <v>30</v>
      </c>
      <c r="G8" s="7" t="s">
        <v>31</v>
      </c>
      <c r="H8" s="7" t="s">
        <v>74</v>
      </c>
      <c r="I8" s="8" t="s">
        <v>33</v>
      </c>
      <c r="J8" s="7" t="s">
        <v>34</v>
      </c>
      <c r="K8" s="7" t="s">
        <v>35</v>
      </c>
    </row>
    <row r="9" customFormat="false" ht="35.05" hidden="false" customHeight="false" outlineLevel="0" collapsed="false">
      <c r="A9" s="7" t="s">
        <v>75</v>
      </c>
      <c r="B9" s="7" t="s">
        <v>70</v>
      </c>
      <c r="C9" s="7" t="s">
        <v>76</v>
      </c>
      <c r="D9" s="7" t="s">
        <v>77</v>
      </c>
      <c r="E9" s="7" t="s">
        <v>78</v>
      </c>
      <c r="F9" s="7" t="s">
        <v>30</v>
      </c>
      <c r="G9" s="7" t="s">
        <v>31</v>
      </c>
      <c r="H9" s="7" t="s">
        <v>79</v>
      </c>
      <c r="I9" s="8" t="s">
        <v>33</v>
      </c>
      <c r="J9" s="7" t="s">
        <v>34</v>
      </c>
      <c r="K9" s="7" t="s">
        <v>35</v>
      </c>
    </row>
    <row r="10" customFormat="false" ht="35.05" hidden="false" customHeight="false" outlineLevel="0" collapsed="false">
      <c r="A10" s="7" t="s">
        <v>80</v>
      </c>
      <c r="B10" s="7" t="s">
        <v>70</v>
      </c>
      <c r="C10" s="7" t="s">
        <v>81</v>
      </c>
      <c r="D10" s="7" t="s">
        <v>82</v>
      </c>
      <c r="E10" s="7" t="s">
        <v>73</v>
      </c>
      <c r="F10" s="7" t="s">
        <v>30</v>
      </c>
      <c r="G10" s="7" t="s">
        <v>31</v>
      </c>
      <c r="H10" s="7" t="s">
        <v>83</v>
      </c>
      <c r="I10" s="8" t="s">
        <v>50</v>
      </c>
      <c r="J10" s="7" t="s">
        <v>84</v>
      </c>
      <c r="K10" s="7" t="s">
        <v>85</v>
      </c>
    </row>
    <row r="11" customFormat="false" ht="35.05" hidden="false" customHeight="false" outlineLevel="0" collapsed="false">
      <c r="A11" s="7" t="s">
        <v>86</v>
      </c>
      <c r="B11" s="7" t="s">
        <v>70</v>
      </c>
      <c r="C11" s="7" t="s">
        <v>87</v>
      </c>
      <c r="D11" s="7" t="s">
        <v>88</v>
      </c>
      <c r="E11" s="7" t="s">
        <v>73</v>
      </c>
      <c r="F11" s="7" t="s">
        <v>30</v>
      </c>
      <c r="G11" s="7" t="s">
        <v>40</v>
      </c>
      <c r="H11" s="7" t="s">
        <v>89</v>
      </c>
      <c r="I11" s="8" t="s">
        <v>33</v>
      </c>
      <c r="J11" s="7" t="s">
        <v>34</v>
      </c>
      <c r="K11" s="7" t="s">
        <v>35</v>
      </c>
    </row>
    <row r="12" customFormat="false" ht="35.05" hidden="false" customHeight="false" outlineLevel="0" collapsed="false">
      <c r="A12" s="7" t="s">
        <v>90</v>
      </c>
      <c r="B12" s="7" t="s">
        <v>91</v>
      </c>
      <c r="C12" s="7" t="s">
        <v>92</v>
      </c>
      <c r="D12" s="7" t="s">
        <v>93</v>
      </c>
      <c r="E12" s="7" t="s">
        <v>94</v>
      </c>
      <c r="F12" s="7" t="s">
        <v>95</v>
      </c>
      <c r="G12" s="7" t="s">
        <v>31</v>
      </c>
      <c r="H12" s="7" t="s">
        <v>96</v>
      </c>
      <c r="I12" s="8" t="s">
        <v>33</v>
      </c>
      <c r="J12" s="7" t="s">
        <v>34</v>
      </c>
      <c r="K12" s="7" t="s">
        <v>35</v>
      </c>
    </row>
    <row r="13" customFormat="false" ht="35.05" hidden="false" customHeight="false" outlineLevel="0" collapsed="false">
      <c r="A13" s="7" t="s">
        <v>97</v>
      </c>
      <c r="B13" s="7" t="s">
        <v>91</v>
      </c>
      <c r="C13" s="7" t="s">
        <v>98</v>
      </c>
      <c r="D13" s="7" t="s">
        <v>99</v>
      </c>
      <c r="E13" s="7" t="s">
        <v>100</v>
      </c>
      <c r="F13" s="7" t="s">
        <v>95</v>
      </c>
      <c r="G13" s="7" t="s">
        <v>31</v>
      </c>
      <c r="H13" s="7" t="s">
        <v>101</v>
      </c>
      <c r="I13" s="8" t="s">
        <v>33</v>
      </c>
      <c r="J13" s="7" t="s">
        <v>34</v>
      </c>
      <c r="K13" s="7" t="s">
        <v>35</v>
      </c>
    </row>
    <row r="14" customFormat="false" ht="35.05" hidden="false" customHeight="false" outlineLevel="0" collapsed="false">
      <c r="A14" s="7" t="s">
        <v>102</v>
      </c>
      <c r="B14" s="7" t="s">
        <v>91</v>
      </c>
      <c r="C14" s="7" t="s">
        <v>103</v>
      </c>
      <c r="D14" s="7" t="s">
        <v>104</v>
      </c>
      <c r="E14" s="7" t="s">
        <v>105</v>
      </c>
      <c r="F14" s="7" t="s">
        <v>95</v>
      </c>
      <c r="G14" s="7" t="s">
        <v>31</v>
      </c>
      <c r="H14" s="7" t="s">
        <v>106</v>
      </c>
      <c r="I14" s="8" t="s">
        <v>33</v>
      </c>
      <c r="J14" s="7" t="s">
        <v>34</v>
      </c>
      <c r="K14" s="7" t="s">
        <v>35</v>
      </c>
    </row>
    <row r="15" customFormat="false" ht="35.05" hidden="false" customHeight="false" outlineLevel="0" collapsed="false">
      <c r="A15" s="7" t="s">
        <v>107</v>
      </c>
      <c r="B15" s="7" t="s">
        <v>108</v>
      </c>
      <c r="C15" s="7" t="s">
        <v>109</v>
      </c>
      <c r="D15" s="7" t="s">
        <v>110</v>
      </c>
      <c r="E15" s="7" t="s">
        <v>111</v>
      </c>
      <c r="F15" s="7" t="s">
        <v>112</v>
      </c>
      <c r="G15" s="7" t="s">
        <v>113</v>
      </c>
      <c r="H15" s="7" t="s">
        <v>114</v>
      </c>
      <c r="I15" s="8" t="s">
        <v>33</v>
      </c>
      <c r="J15" s="7" t="s">
        <v>34</v>
      </c>
      <c r="K15" s="7" t="s">
        <v>35</v>
      </c>
    </row>
    <row r="16" customFormat="false" ht="35.05" hidden="false" customHeight="false" outlineLevel="0" collapsed="false">
      <c r="A16" s="7" t="s">
        <v>115</v>
      </c>
      <c r="B16" s="7" t="s">
        <v>108</v>
      </c>
      <c r="C16" s="7" t="s">
        <v>116</v>
      </c>
      <c r="D16" s="7" t="s">
        <v>117</v>
      </c>
      <c r="E16" s="7" t="s">
        <v>111</v>
      </c>
      <c r="F16" s="7" t="s">
        <v>118</v>
      </c>
      <c r="G16" s="7" t="s">
        <v>40</v>
      </c>
      <c r="H16" s="7" t="s">
        <v>119</v>
      </c>
      <c r="I16" s="8" t="s">
        <v>42</v>
      </c>
      <c r="J16" s="7" t="s">
        <v>67</v>
      </c>
      <c r="K16" s="7" t="s">
        <v>120</v>
      </c>
    </row>
    <row r="17" customFormat="false" ht="23.85" hidden="false" customHeight="false" outlineLevel="0" collapsed="false">
      <c r="A17" s="7" t="s">
        <v>121</v>
      </c>
      <c r="B17" s="7" t="s">
        <v>108</v>
      </c>
      <c r="C17" s="7" t="s">
        <v>122</v>
      </c>
      <c r="D17" s="7" t="s">
        <v>123</v>
      </c>
      <c r="E17" s="7" t="s">
        <v>111</v>
      </c>
      <c r="F17" s="7" t="s">
        <v>30</v>
      </c>
      <c r="G17" s="7" t="s">
        <v>40</v>
      </c>
      <c r="H17" s="7" t="s">
        <v>124</v>
      </c>
      <c r="I17" s="8" t="s">
        <v>33</v>
      </c>
      <c r="J17" s="7" t="s">
        <v>34</v>
      </c>
      <c r="K17" s="7" t="s">
        <v>35</v>
      </c>
    </row>
  </sheetData>
  <autoFilter ref="A1:K17"/>
  <conditionalFormatting sqref="I2:I17">
    <cfRule type="expression" priority="2" aboveAverage="0" equalAverage="0" bottom="0" percent="0" rank="0" text="" dxfId="8">
      <formula>EXACT($I2,"Pass")</formula>
    </cfRule>
    <cfRule type="expression" priority="3" aboveAverage="0" equalAverage="0" bottom="0" percent="0" rank="0" text="" dxfId="9">
      <formula>EXACT($I2,"Exception")</formula>
    </cfRule>
    <cfRule type="expression" priority="4" aboveAverage="0" equalAverage="0" bottom="0" percent="0" rank="0" text="" dxfId="10">
      <formula>EXACT($I2,"Fail")</formula>
    </cfRule>
  </conditionalFormatting>
  <conditionalFormatting sqref="J2:J17">
    <cfRule type="expression" priority="5" aboveAverage="0" equalAverage="0" bottom="0" percent="0" rank="0" text="" dxfId="8">
      <formula>EXACT($J2,"None")</formula>
    </cfRule>
    <cfRule type="expression" priority="6" aboveAverage="0" equalAverage="0" bottom="0" percent="0" rank="0" text="" dxfId="9">
      <formula>EXACT($J2,"Control Deficiency")</formula>
    </cfRule>
    <cfRule type="expression" priority="7" aboveAverage="0" equalAverage="0" bottom="0" percent="0" rank="0" text="" dxfId="11">
      <formula>EXACT($J2,"Significant Deficiency")</formula>
    </cfRule>
    <cfRule type="expression" priority="8" aboveAverage="0" equalAverage="0" bottom="0" percent="0" rank="0" text="" dxfId="10">
      <formula>EXACT($J2,"Material Weakness")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6"/>
    <col collapsed="false" customWidth="true" hidden="false" outlineLevel="0" max="4" min="4" style="0" width="10"/>
    <col collapsed="false" customWidth="true" hidden="false" outlineLevel="0" max="8" min="8" style="0" width="26"/>
    <col collapsed="false" customWidth="true" hidden="false" outlineLevel="0" max="11" min="9" style="0" width="10"/>
  </cols>
  <sheetData>
    <row r="2" customFormat="false" ht="19.7" hidden="false" customHeight="false" outlineLevel="0" collapsed="false">
      <c r="B2" s="1" t="s">
        <v>125</v>
      </c>
    </row>
    <row r="4" customFormat="false" ht="15" hidden="false" customHeight="false" outlineLevel="0" collapsed="false">
      <c r="B4" s="9" t="s">
        <v>126</v>
      </c>
      <c r="D4" s="10" t="str">
        <f aca="false">IF(COUNTIF('Control Matrix'!$J$2:$J$17,"Material Weakness")&gt;0,"MATERIAL WEAKNESS",IF(COUNTIF('Control Matrix'!$J$2:$J$17,"Significant Deficiency")&gt;0,"SIGNIFICANT DEFICIENCY",IF(COUNTIF('Control Matrix'!$J$2:$J$17,"Control Deficiency")&gt;0,"CONTROL DEFICIENCY","EFFECTIVE")))</f>
        <v>MATERIAL WEAKNESS</v>
      </c>
      <c r="E4" s="10"/>
      <c r="F4" s="10"/>
    </row>
    <row r="6" customFormat="false" ht="15" hidden="false" customHeight="false" outlineLevel="0" collapsed="false">
      <c r="B6" s="5" t="s">
        <v>127</v>
      </c>
      <c r="D6" s="11" t="n">
        <f aca="false">COUNTA('Control Matrix'!$I$2:$I$17)</f>
        <v>16</v>
      </c>
    </row>
    <row r="7" customFormat="false" ht="15" hidden="false" customHeight="false" outlineLevel="0" collapsed="false">
      <c r="B7" s="5" t="s">
        <v>128</v>
      </c>
      <c r="D7" s="11" t="n">
        <f aca="false">COUNTIF('Control Matrix'!$I$2:$I$17,"Pass")</f>
        <v>11</v>
      </c>
    </row>
    <row r="8" customFormat="false" ht="15" hidden="false" customHeight="false" outlineLevel="0" collapsed="false">
      <c r="B8" s="5" t="s">
        <v>129</v>
      </c>
      <c r="D8" s="12" t="n">
        <f aca="false">COUNTIF('Control Matrix'!$I$2:$I$17,"Pass")/COUNTA('Control Matrix'!$I$2:$I$17)</f>
        <v>0.6875</v>
      </c>
    </row>
    <row r="10" customFormat="false" ht="15" hidden="false" customHeight="false" outlineLevel="0" collapsed="false">
      <c r="B10" s="9" t="s">
        <v>130</v>
      </c>
      <c r="H10" s="9" t="s">
        <v>131</v>
      </c>
    </row>
    <row r="11" customFormat="false" ht="15" hidden="false" customHeight="false" outlineLevel="0" collapsed="false">
      <c r="B11" s="13" t="s">
        <v>132</v>
      </c>
      <c r="D11" s="13" t="s">
        <v>133</v>
      </c>
      <c r="H11" s="13" t="s">
        <v>134</v>
      </c>
      <c r="I11" s="14" t="s">
        <v>33</v>
      </c>
      <c r="J11" s="14" t="s">
        <v>42</v>
      </c>
      <c r="K11" s="14" t="s">
        <v>50</v>
      </c>
    </row>
    <row r="12" customFormat="false" ht="15" hidden="false" customHeight="false" outlineLevel="0" collapsed="false">
      <c r="B12" s="15" t="s">
        <v>34</v>
      </c>
      <c r="D12" s="11" t="n">
        <f aca="false">COUNTIF('Control Matrix'!$J$2:$J$17,"None")</f>
        <v>11</v>
      </c>
      <c r="H12" s="16" t="s">
        <v>26</v>
      </c>
      <c r="I12" s="11" t="n">
        <f aca="false">COUNTIFS('Control Matrix'!$B$2:$B$17,"Access to Programs &amp; Data",'Control Matrix'!$I$2:$I$17,"Pass")</f>
        <v>3</v>
      </c>
      <c r="J12" s="11" t="n">
        <f aca="false">COUNTIFS('Control Matrix'!$B$2:$B$17,"Access to Programs &amp; Data",'Control Matrix'!$I$2:$I$17,"Exception")</f>
        <v>2</v>
      </c>
      <c r="K12" s="11" t="n">
        <f aca="false">COUNTIFS('Control Matrix'!$B$2:$B$17,"Access to Programs &amp; Data",'Control Matrix'!$I$2:$I$17,"Fail")</f>
        <v>1</v>
      </c>
    </row>
    <row r="13" customFormat="false" ht="15" hidden="false" customHeight="false" outlineLevel="0" collapsed="false">
      <c r="B13" s="17" t="s">
        <v>67</v>
      </c>
      <c r="D13" s="11" t="n">
        <f aca="false">COUNTIF('Control Matrix'!$J$2:$J$17,"Control Deficiency")</f>
        <v>2</v>
      </c>
      <c r="H13" s="16" t="s">
        <v>70</v>
      </c>
      <c r="I13" s="11" t="n">
        <f aca="false">COUNTIFS('Control Matrix'!$B$2:$B$17,"Program Changes",'Control Matrix'!$I$2:$I$17,"Pass")</f>
        <v>3</v>
      </c>
      <c r="J13" s="11" t="n">
        <f aca="false">COUNTIFS('Control Matrix'!$B$2:$B$17,"Program Changes",'Control Matrix'!$I$2:$I$17,"Exception")</f>
        <v>0</v>
      </c>
      <c r="K13" s="11" t="n">
        <f aca="false">COUNTIFS('Control Matrix'!$B$2:$B$17,"Program Changes",'Control Matrix'!$I$2:$I$17,"Fail")</f>
        <v>1</v>
      </c>
    </row>
    <row r="14" customFormat="false" ht="15" hidden="false" customHeight="false" outlineLevel="0" collapsed="false">
      <c r="B14" s="18" t="s">
        <v>43</v>
      </c>
      <c r="D14" s="11" t="n">
        <f aca="false">COUNTIF('Control Matrix'!$J$2:$J$17,"Significant Deficiency")</f>
        <v>2</v>
      </c>
      <c r="H14" s="16" t="s">
        <v>91</v>
      </c>
      <c r="I14" s="11" t="n">
        <f aca="false">COUNTIFS('Control Matrix'!$B$2:$B$17,"Program Development",'Control Matrix'!$I$2:$I$17,"Pass")</f>
        <v>3</v>
      </c>
      <c r="J14" s="11" t="n">
        <f aca="false">COUNTIFS('Control Matrix'!$B$2:$B$17,"Program Development",'Control Matrix'!$I$2:$I$17,"Exception")</f>
        <v>0</v>
      </c>
      <c r="K14" s="11" t="n">
        <f aca="false">COUNTIFS('Control Matrix'!$B$2:$B$17,"Program Development",'Control Matrix'!$I$2:$I$17,"Fail")</f>
        <v>0</v>
      </c>
    </row>
    <row r="15" customFormat="false" ht="15" hidden="false" customHeight="false" outlineLevel="0" collapsed="false">
      <c r="B15" s="19" t="s">
        <v>84</v>
      </c>
      <c r="D15" s="11" t="n">
        <f aca="false">COUNTIF('Control Matrix'!$J$2:$J$17,"Material Weakness")</f>
        <v>1</v>
      </c>
      <c r="H15" s="16" t="s">
        <v>108</v>
      </c>
      <c r="I15" s="11" t="n">
        <f aca="false">COUNTIFS('Control Matrix'!$B$2:$B$17,"Computer Operations",'Control Matrix'!$I$2:$I$17,"Pass")</f>
        <v>2</v>
      </c>
      <c r="J15" s="11" t="n">
        <f aca="false">COUNTIFS('Control Matrix'!$B$2:$B$17,"Computer Operations",'Control Matrix'!$I$2:$I$17,"Exception")</f>
        <v>1</v>
      </c>
      <c r="K15" s="11" t="n">
        <f aca="false">COUNTIFS('Control Matrix'!$B$2:$B$17,"Computer Operations",'Control Matrix'!$I$2:$I$17,"Fail")</f>
        <v>0</v>
      </c>
    </row>
  </sheetData>
  <mergeCells count="1">
    <mergeCell ref="D4:F4"/>
  </mergeCells>
  <conditionalFormatting sqref="D4">
    <cfRule type="expression" priority="2" aboveAverage="0" equalAverage="0" bottom="0" percent="0" rank="0" text="" dxfId="12">
      <formula>EXACT($D$4,"MATERIAL WEAKNESS")</formula>
    </cfRule>
    <cfRule type="expression" priority="3" aboveAverage="0" equalAverage="0" bottom="0" percent="0" rank="0" text="" dxfId="13">
      <formula>EXACT($D$4,"SIGNIFICANT DEFICIENCY")</formula>
    </cfRule>
    <cfRule type="expression" priority="4" aboveAverage="0" equalAverage="0" bottom="0" percent="0" rank="0" text="" dxfId="14">
      <formula>EXACT($D$4,"CONTROL DEFICIENCY")</formula>
    </cfRule>
    <cfRule type="expression" priority="5" aboveAverage="0" equalAverage="0" bottom="0" percent="0" rank="0" text="" dxfId="15">
      <formula>EXACT($D$4,"EFFECTIVE")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2026-10-23T02:02:03Z</dcterms:created>
  <dc:creator>openpyxl</dc:creator>
  <dc:description/>
  <dc:language>en-US</dc:language>
  <cp:lastModifiedBy/>
  <dcterms:modified xsi:type="dcterms:W3CDTF">2026-10-22T21:02:05Z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